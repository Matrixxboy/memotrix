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F4F8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048A81"/>
      </patternFill>
    </fill>
    <fill>
      <patternFill patternType="solid">
        <fgColor rgb="00FFF3CD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D4ED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4" customWidth="1" min="5" max="5"/>
    <col width="10" customWidth="1" min="6" max="6"/>
    <col width="8" customWidth="1" min="7" max="7"/>
    <col width="12" customWidth="1" min="8" max="8"/>
    <col width="15" customWidth="1" min="9" max="9"/>
    <col width="16" customWidth="1" min="10" max="10"/>
    <col width="9" customWidth="1" min="11" max="11"/>
  </cols>
  <sheetData>
    <row r="1" ht="30" customHeight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Bonus</t>
        </is>
      </c>
      <c r="G1" s="1" t="inlineStr">
        <is>
          <t>Age</t>
        </is>
      </c>
      <c r="H1" s="1" t="inlineStr">
        <is>
          <t>Join_Year</t>
        </is>
      </c>
      <c r="I1" s="1" t="inlineStr">
        <is>
          <t>Sales_Target</t>
        </is>
      </c>
      <c r="J1" s="1" t="inlineStr">
        <is>
          <t>Sales_Achieved</t>
        </is>
      </c>
      <c r="K1" s="1" t="inlineStr">
        <is>
          <t>Rating</t>
        </is>
      </c>
    </row>
    <row r="2">
      <c r="A2" s="2" t="inlineStr">
        <is>
          <t>E001</t>
        </is>
      </c>
      <c r="B2" s="3" t="inlineStr">
        <is>
          <t xml:space="preserve"> Alice Johnson </t>
        </is>
      </c>
      <c r="C2" s="2" t="inlineStr">
        <is>
          <t>HR</t>
        </is>
      </c>
      <c r="D2" s="2" t="inlineStr">
        <is>
          <t>Mumbai</t>
        </is>
      </c>
      <c r="E2" s="4" t="inlineStr">
        <is>
          <t>52000</t>
        </is>
      </c>
      <c r="F2" s="5" t="n">
        <v>4000</v>
      </c>
      <c r="G2" s="5" t="n">
        <v>29</v>
      </c>
      <c r="H2" s="5" t="n">
        <v>2019</v>
      </c>
      <c r="I2" s="5" t="n">
        <v>80000</v>
      </c>
      <c r="J2" s="5" t="n">
        <v>75000</v>
      </c>
      <c r="K2" s="5" t="n">
        <v>4</v>
      </c>
    </row>
    <row r="3">
      <c r="A3" s="6" t="inlineStr">
        <is>
          <t>E002</t>
        </is>
      </c>
      <c r="B3" s="3" t="inlineStr">
        <is>
          <t xml:space="preserve">  Bob Smith</t>
        </is>
      </c>
      <c r="C3" s="6" t="inlineStr">
        <is>
          <t>IT</t>
        </is>
      </c>
      <c r="D3" s="6" t="inlineStr">
        <is>
          <t>Delhi</t>
        </is>
      </c>
      <c r="E3" s="7" t="n">
        <v>65000</v>
      </c>
      <c r="F3" s="7" t="n">
        <v>7000</v>
      </c>
      <c r="G3" s="7" t="n">
        <v>35</v>
      </c>
      <c r="H3" s="7" t="n">
        <v>2017</v>
      </c>
      <c r="I3" s="7" t="n">
        <v>120000</v>
      </c>
      <c r="J3" s="7" t="n">
        <v>130000</v>
      </c>
      <c r="K3" s="7" t="n">
        <v>5</v>
      </c>
    </row>
    <row r="4">
      <c r="A4" s="2" t="inlineStr">
        <is>
          <t>E003</t>
        </is>
      </c>
      <c r="B4" s="3" t="inlineStr">
        <is>
          <t xml:space="preserve">Carol White </t>
        </is>
      </c>
      <c r="C4" s="2" t="inlineStr">
        <is>
          <t>Finance</t>
        </is>
      </c>
      <c r="D4" s="2" t="inlineStr">
        <is>
          <t>Mumbai</t>
        </is>
      </c>
      <c r="E4" s="5" t="n">
        <v>58000</v>
      </c>
      <c r="F4" s="5" t="n">
        <v>5500</v>
      </c>
      <c r="G4" s="5" t="n">
        <v>31</v>
      </c>
      <c r="H4" s="4" t="inlineStr">
        <is>
          <t>2018</t>
        </is>
      </c>
      <c r="I4" s="5" t="n">
        <v>95000</v>
      </c>
      <c r="J4" s="5" t="n">
        <v>88000</v>
      </c>
      <c r="K4" s="5" t="n">
        <v>3</v>
      </c>
    </row>
    <row r="5">
      <c r="A5" s="6" t="inlineStr">
        <is>
          <t>E004</t>
        </is>
      </c>
      <c r="B5" s="3" t="inlineStr">
        <is>
          <t xml:space="preserve"> David Brown</t>
        </is>
      </c>
      <c r="C5" s="6" t="inlineStr">
        <is>
          <t>IT</t>
        </is>
      </c>
      <c r="D5" s="6" t="inlineStr">
        <is>
          <t>Bangalore</t>
        </is>
      </c>
      <c r="E5" s="7" t="n">
        <v>72000</v>
      </c>
      <c r="F5" s="7" t="n">
        <v>8000</v>
      </c>
      <c r="G5" s="7" t="n">
        <v>40</v>
      </c>
      <c r="H5" s="7" t="n">
        <v>2015</v>
      </c>
      <c r="I5" s="7" t="n">
        <v>150000</v>
      </c>
      <c r="J5" s="7" t="n">
        <v>162000</v>
      </c>
      <c r="K5" s="7" t="n">
        <v>5</v>
      </c>
    </row>
    <row r="6">
      <c r="A6" s="2" t="inlineStr">
        <is>
          <t>E005</t>
        </is>
      </c>
      <c r="B6" s="3" t="inlineStr">
        <is>
          <t>Eva Green</t>
        </is>
      </c>
      <c r="C6" s="2" t="inlineStr">
        <is>
          <t>HR</t>
        </is>
      </c>
      <c r="D6" s="2" t="inlineStr">
        <is>
          <t>Delhi</t>
        </is>
      </c>
      <c r="E6" s="4" t="inlineStr">
        <is>
          <t>48000</t>
        </is>
      </c>
      <c r="F6" s="5" t="n">
        <v>3500</v>
      </c>
      <c r="G6" s="5" t="n">
        <v>27</v>
      </c>
      <c r="H6" s="5" t="n">
        <v>2021</v>
      </c>
      <c r="I6" s="5" t="n">
        <v>70000</v>
      </c>
      <c r="J6" s="5" t="n">
        <v>65000</v>
      </c>
      <c r="K6" s="5" t="n">
        <v>3</v>
      </c>
    </row>
    <row r="7">
      <c r="A7" s="6" t="inlineStr">
        <is>
          <t>E006</t>
        </is>
      </c>
      <c r="B7" s="3" t="inlineStr">
        <is>
          <t xml:space="preserve"> Frank Lee </t>
        </is>
      </c>
      <c r="C7" s="6" t="inlineStr">
        <is>
          <t>Finance</t>
        </is>
      </c>
      <c r="D7" s="6" t="inlineStr">
        <is>
          <t>Mumbai</t>
        </is>
      </c>
      <c r="E7" s="7" t="n">
        <v>61000</v>
      </c>
      <c r="F7" s="7" t="n">
        <v>6000</v>
      </c>
      <c r="G7" s="7" t="n">
        <v>38</v>
      </c>
      <c r="H7" s="7" t="n">
        <v>2016</v>
      </c>
      <c r="I7" s="7" t="n">
        <v>105000</v>
      </c>
      <c r="J7" s="7" t="n">
        <v>98000</v>
      </c>
      <c r="K7" s="7" t="n">
        <v>4</v>
      </c>
    </row>
    <row r="8">
      <c r="A8" s="2" t="inlineStr">
        <is>
          <t>E007</t>
        </is>
      </c>
      <c r="B8" s="3" t="inlineStr">
        <is>
          <t>Grace Kim</t>
        </is>
      </c>
      <c r="C8" s="2" t="inlineStr">
        <is>
          <t>IT</t>
        </is>
      </c>
      <c r="D8" s="2" t="inlineStr">
        <is>
          <t>Bangalore</t>
        </is>
      </c>
      <c r="E8" s="5" t="n">
        <v>78000</v>
      </c>
      <c r="F8" s="5" t="n">
        <v>9000</v>
      </c>
      <c r="G8" s="5" t="n">
        <v>44</v>
      </c>
      <c r="H8" s="5" t="n">
        <v>2014</v>
      </c>
      <c r="I8" s="5" t="n">
        <v>160000</v>
      </c>
      <c r="J8" s="5" t="n">
        <v>175000</v>
      </c>
      <c r="K8" s="5" t="n">
        <v>5</v>
      </c>
    </row>
    <row r="9">
      <c r="A9" s="6" t="inlineStr">
        <is>
          <t>E008</t>
        </is>
      </c>
      <c r="B9" s="3" t="inlineStr">
        <is>
          <t xml:space="preserve"> Henry Ford</t>
        </is>
      </c>
      <c r="C9" s="6" t="inlineStr">
        <is>
          <t>Sales</t>
        </is>
      </c>
      <c r="D9" s="6" t="inlineStr">
        <is>
          <t>Delhi</t>
        </is>
      </c>
      <c r="E9" s="7" t="n">
        <v>55000</v>
      </c>
      <c r="F9" s="7" t="n">
        <v>5000</v>
      </c>
      <c r="G9" s="7" t="n">
        <v>33</v>
      </c>
      <c r="H9" s="4" t="inlineStr">
        <is>
          <t>2018</t>
        </is>
      </c>
      <c r="I9" s="7" t="n">
        <v>200000</v>
      </c>
      <c r="J9" s="7" t="n">
        <v>185000</v>
      </c>
      <c r="K9" s="7" t="n">
        <v>4</v>
      </c>
    </row>
    <row r="10">
      <c r="A10" s="2" t="inlineStr">
        <is>
          <t>E009</t>
        </is>
      </c>
      <c r="B10" s="3" t="inlineStr">
        <is>
          <t xml:space="preserve">Ivy Chen </t>
        </is>
      </c>
      <c r="C10" s="2" t="inlineStr">
        <is>
          <t>Sales</t>
        </is>
      </c>
      <c r="D10" s="2" t="inlineStr">
        <is>
          <t>Mumbai</t>
        </is>
      </c>
      <c r="E10" s="5" t="n">
        <v>50000</v>
      </c>
      <c r="F10" s="5" t="n">
        <v>4500</v>
      </c>
      <c r="G10" s="5" t="n">
        <v>30</v>
      </c>
      <c r="H10" s="5" t="n">
        <v>2020</v>
      </c>
      <c r="I10" s="5" t="n">
        <v>180000</v>
      </c>
      <c r="J10" s="5" t="n">
        <v>195000</v>
      </c>
      <c r="K10" s="5" t="n">
        <v>5</v>
      </c>
    </row>
    <row r="11">
      <c r="A11" s="6" t="inlineStr">
        <is>
          <t>E010</t>
        </is>
      </c>
      <c r="B11" s="3" t="inlineStr">
        <is>
          <t xml:space="preserve"> Jack Ma</t>
        </is>
      </c>
      <c r="C11" s="6" t="inlineStr">
        <is>
          <t>Finance</t>
        </is>
      </c>
      <c r="D11" s="6" t="inlineStr">
        <is>
          <t>Bangalore</t>
        </is>
      </c>
      <c r="E11" s="4" t="inlineStr">
        <is>
          <t>67000</t>
        </is>
      </c>
      <c r="F11" s="7" t="n">
        <v>7500</v>
      </c>
      <c r="G11" s="7" t="n">
        <v>36</v>
      </c>
      <c r="H11" s="7" t="n">
        <v>2017</v>
      </c>
      <c r="I11" s="7" t="n">
        <v>110000</v>
      </c>
      <c r="J11" s="7" t="n">
        <v>102000</v>
      </c>
      <c r="K11" s="7" t="n">
        <v>3</v>
      </c>
    </row>
    <row r="12">
      <c r="A12" s="2" t="inlineStr">
        <is>
          <t>E011</t>
        </is>
      </c>
      <c r="B12" s="3" t="inlineStr">
        <is>
          <t>Karen Black</t>
        </is>
      </c>
      <c r="C12" s="2" t="inlineStr">
        <is>
          <t>HR</t>
        </is>
      </c>
      <c r="D12" s="2" t="inlineStr">
        <is>
          <t>Delhi</t>
        </is>
      </c>
      <c r="E12" s="5" t="n">
        <v>46000</v>
      </c>
      <c r="F12" s="5" t="n">
        <v>3000</v>
      </c>
      <c r="G12" s="5" t="n">
        <v>25</v>
      </c>
      <c r="H12" s="5" t="n">
        <v>2022</v>
      </c>
      <c r="I12" s="5" t="n">
        <v>60000</v>
      </c>
      <c r="J12" s="5" t="n">
        <v>58000</v>
      </c>
      <c r="K12" s="5" t="n">
        <v>2</v>
      </c>
    </row>
    <row r="13">
      <c r="A13" s="6" t="inlineStr">
        <is>
          <t>E012</t>
        </is>
      </c>
      <c r="B13" s="3" t="inlineStr">
        <is>
          <t xml:space="preserve"> Leo Messi</t>
        </is>
      </c>
      <c r="C13" s="6" t="inlineStr">
        <is>
          <t>Sales</t>
        </is>
      </c>
      <c r="D13" s="6" t="inlineStr">
        <is>
          <t>Bangalore</t>
        </is>
      </c>
      <c r="E13" s="7" t="n">
        <v>80000</v>
      </c>
      <c r="F13" s="7" t="n">
        <v>10000</v>
      </c>
      <c r="G13" s="7" t="n">
        <v>45</v>
      </c>
      <c r="H13" s="7" t="n">
        <v>2013</v>
      </c>
      <c r="I13" s="7" t="n">
        <v>220000</v>
      </c>
      <c r="J13" s="7" t="n">
        <v>240000</v>
      </c>
      <c r="K13" s="7" t="n">
        <v>5</v>
      </c>
    </row>
    <row r="14">
      <c r="A14" s="2" t="inlineStr">
        <is>
          <t>E013</t>
        </is>
      </c>
      <c r="B14" s="3" t="inlineStr">
        <is>
          <t xml:space="preserve">Mia Turner </t>
        </is>
      </c>
      <c r="C14" s="2" t="inlineStr">
        <is>
          <t>IT</t>
        </is>
      </c>
      <c r="D14" s="2" t="inlineStr">
        <is>
          <t>Mumbai</t>
        </is>
      </c>
      <c r="E14" s="5" t="n">
        <v>69000</v>
      </c>
      <c r="F14" s="5" t="n">
        <v>7800</v>
      </c>
      <c r="G14" s="5" t="n">
        <v>37</v>
      </c>
      <c r="H14" s="5" t="n">
        <v>2016</v>
      </c>
      <c r="I14" s="5" t="n">
        <v>140000</v>
      </c>
      <c r="J14" s="5" t="n">
        <v>138000</v>
      </c>
      <c r="K14" s="5" t="n">
        <v>4</v>
      </c>
    </row>
    <row r="15">
      <c r="A15" s="6" t="inlineStr">
        <is>
          <t>E014</t>
        </is>
      </c>
      <c r="B15" s="3" t="inlineStr">
        <is>
          <t xml:space="preserve"> Noah Park</t>
        </is>
      </c>
      <c r="C15" s="6" t="inlineStr">
        <is>
          <t>HR</t>
        </is>
      </c>
      <c r="D15" s="6" t="inlineStr">
        <is>
          <t>Delhi</t>
        </is>
      </c>
      <c r="E15" s="7" t="n">
        <v>51000</v>
      </c>
      <c r="F15" s="7" t="n">
        <v>4200</v>
      </c>
      <c r="G15" s="7" t="n">
        <v>28</v>
      </c>
      <c r="H15" s="4" t="inlineStr">
        <is>
          <t>2020</t>
        </is>
      </c>
      <c r="I15" s="7" t="n">
        <v>75000</v>
      </c>
      <c r="J15" s="7" t="n">
        <v>70000</v>
      </c>
      <c r="K15" s="7" t="n">
        <v>3</v>
      </c>
    </row>
    <row r="16">
      <c r="A16" s="2" t="inlineStr">
        <is>
          <t>E015</t>
        </is>
      </c>
      <c r="B16" s="3" t="inlineStr">
        <is>
          <t>Olivia Ray</t>
        </is>
      </c>
      <c r="C16" s="2" t="inlineStr">
        <is>
          <t>Finance</t>
        </is>
      </c>
      <c r="D16" s="2" t="inlineStr">
        <is>
          <t>Mumbai</t>
        </is>
      </c>
      <c r="E16" s="5" t="n">
        <v>63000</v>
      </c>
      <c r="F16" s="5" t="n">
        <v>6500</v>
      </c>
      <c r="G16" s="5" t="n">
        <v>33</v>
      </c>
      <c r="H16" s="5" t="n">
        <v>2018</v>
      </c>
      <c r="I16" s="5" t="n">
        <v>100000</v>
      </c>
      <c r="J16" s="5" t="n">
        <v>108000</v>
      </c>
      <c r="K16" s="5" t="n">
        <v>4</v>
      </c>
    </row>
    <row r="17" ht="20" customHeight="1">
      <c r="A17" s="8" t="inlineStr">
        <is>
          <t>🔴 Red cells = dirty data (text numbers or extra spaces) – needs cleaning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</sheetData>
  <mergeCells count="1"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30" customWidth="1" min="4" max="4"/>
  </cols>
  <sheetData>
    <row r="1" ht="36" customHeight="1">
      <c r="A1" s="11" t="inlineStr">
        <is>
          <t>📝  Excel Practice Questions  –  Employee Data</t>
        </is>
      </c>
    </row>
    <row r="2" ht="22" customHeight="1">
      <c r="A2" s="12" t="inlineStr">
        <is>
          <t>Dataset is on the 'Employee_Data' sheet. Write your formulas in column D.</t>
        </is>
      </c>
    </row>
    <row r="3" ht="22" customHeight="1">
      <c r="A3" s="1" t="inlineStr">
        <is>
          <t>#</t>
        </is>
      </c>
      <c r="B3" s="1" t="inlineStr">
        <is>
          <t>Topic</t>
        </is>
      </c>
      <c r="C3" s="1" t="inlineStr">
        <is>
          <t>Question</t>
        </is>
      </c>
      <c r="D3" s="1" t="inlineStr">
        <is>
          <t>Your Answer (write formula here)</t>
        </is>
      </c>
    </row>
    <row r="4" ht="30" customHeight="1">
      <c r="A4" s="13" t="inlineStr">
        <is>
          <t>── CLEANING ──</t>
        </is>
      </c>
    </row>
    <row r="5" ht="30" customHeight="1">
      <c r="A5" s="14" t="inlineStr">
        <is>
          <t>1</t>
        </is>
      </c>
      <c r="B5" s="14" t="inlineStr">
        <is>
          <t>TRIM</t>
        </is>
      </c>
      <c r="C5" s="15" t="inlineStr">
        <is>
          <t>In a helper column (e.g., column M on the data sheet), write a TRIM formula to remove extra spaces from the Name column (B2:B16).</t>
        </is>
      </c>
      <c r="D5" s="6" t="inlineStr"/>
    </row>
    <row r="6" ht="30" customHeight="1">
      <c r="A6" s="14" t="inlineStr">
        <is>
          <t>2</t>
        </is>
      </c>
      <c r="B6" s="14" t="inlineStr">
        <is>
          <t>Text→Number</t>
        </is>
      </c>
      <c r="C6" s="15" t="inlineStr">
        <is>
          <t>Employees E001, E005, E010 have Salary stored as text (column E). Write a formula using VALUE() or *1 to convert cell E2 to a number.</t>
        </is>
      </c>
      <c r="D6" s="6" t="inlineStr"/>
    </row>
    <row r="7" ht="30" customHeight="1">
      <c r="A7" s="14" t="inlineStr">
        <is>
          <t>3</t>
        </is>
      </c>
      <c r="B7" s="14" t="inlineStr">
        <is>
          <t>Text→Number</t>
        </is>
      </c>
      <c r="C7" s="15" t="inlineStr">
        <is>
          <t>Employees E003, E008, E014 have Join_Year as text (column H). Convert H4 to a number using VALUE().</t>
        </is>
      </c>
      <c r="D7" s="6" t="inlineStr"/>
    </row>
    <row r="8" ht="30" customHeight="1">
      <c r="A8" s="13" t="inlineStr">
        <is>
          <t>── AGGREGATES ──</t>
        </is>
      </c>
    </row>
    <row r="9" ht="30" customHeight="1">
      <c r="A9" s="14" t="inlineStr">
        <is>
          <t>4</t>
        </is>
      </c>
      <c r="B9" s="14" t="inlineStr">
        <is>
          <t>SUM</t>
        </is>
      </c>
      <c r="C9" s="15" t="inlineStr">
        <is>
          <t>What is the total Salary of all 15 employees? (Column E)</t>
        </is>
      </c>
      <c r="D9" s="6" t="inlineStr"/>
    </row>
    <row r="10" ht="30" customHeight="1">
      <c r="A10" s="14" t="inlineStr">
        <is>
          <t>5</t>
        </is>
      </c>
      <c r="B10" s="14" t="inlineStr">
        <is>
          <t>AVERAGE</t>
        </is>
      </c>
      <c r="C10" s="15" t="inlineStr">
        <is>
          <t>What is the average Bonus across all employees? (Column F)</t>
        </is>
      </c>
      <c r="D10" s="6" t="inlineStr"/>
    </row>
    <row r="11" ht="30" customHeight="1">
      <c r="A11" s="14" t="inlineStr">
        <is>
          <t>6</t>
        </is>
      </c>
      <c r="B11" s="14" t="inlineStr">
        <is>
          <t>MIN</t>
        </is>
      </c>
      <c r="C11" s="15" t="inlineStr">
        <is>
          <t>What is the minimum Age in the dataset? (Column G)</t>
        </is>
      </c>
      <c r="D11" s="6" t="inlineStr"/>
    </row>
    <row r="12" ht="30" customHeight="1">
      <c r="A12" s="14" t="inlineStr">
        <is>
          <t>7</t>
        </is>
      </c>
      <c r="B12" s="14" t="inlineStr">
        <is>
          <t>MAX</t>
        </is>
      </c>
      <c r="C12" s="15" t="inlineStr">
        <is>
          <t>What is the maximum Sales_Achieved? (Column J)</t>
        </is>
      </c>
      <c r="D12" s="6" t="inlineStr"/>
    </row>
    <row r="13" ht="30" customHeight="1">
      <c r="A13" s="13" t="inlineStr">
        <is>
          <t>── CONDITIONAL AGGREGATES ──</t>
        </is>
      </c>
    </row>
    <row r="14" ht="30" customHeight="1">
      <c r="A14" s="14" t="inlineStr">
        <is>
          <t>8</t>
        </is>
      </c>
      <c r="B14" s="14" t="inlineStr">
        <is>
          <t>SUMIF</t>
        </is>
      </c>
      <c r="C14" s="15" t="inlineStr">
        <is>
          <t>What is the total Salary for employees in the IT department?</t>
        </is>
      </c>
      <c r="D14" s="6" t="inlineStr"/>
    </row>
    <row r="15" ht="30" customHeight="1">
      <c r="A15" s="14" t="inlineStr">
        <is>
          <t>9</t>
        </is>
      </c>
      <c r="B15" s="14" t="inlineStr">
        <is>
          <t>SUMIF</t>
        </is>
      </c>
      <c r="C15" s="15" t="inlineStr">
        <is>
          <t>What is the total Sales_Achieved for employees based in Mumbai?</t>
        </is>
      </c>
      <c r="D15" s="6" t="inlineStr"/>
    </row>
    <row r="16" ht="30" customHeight="1">
      <c r="A16" s="14" t="inlineStr">
        <is>
          <t>10</t>
        </is>
      </c>
      <c r="B16" s="14" t="inlineStr">
        <is>
          <t>AVERAGEIF</t>
        </is>
      </c>
      <c r="C16" s="15" t="inlineStr">
        <is>
          <t>What is the average Salary for Finance department employees?</t>
        </is>
      </c>
      <c r="D16" s="6" t="inlineStr"/>
    </row>
    <row r="17" ht="30" customHeight="1">
      <c r="A17" s="14" t="inlineStr">
        <is>
          <t>11</t>
        </is>
      </c>
      <c r="B17" s="14" t="inlineStr">
        <is>
          <t>AVERAGEIF</t>
        </is>
      </c>
      <c r="C17" s="15" t="inlineStr">
        <is>
          <t>What is the average Rating for employees with Age &gt; 35?</t>
        </is>
      </c>
      <c r="D17" s="6" t="inlineStr"/>
    </row>
    <row r="18" ht="30" customHeight="1">
      <c r="A18" s="13" t="inlineStr">
        <is>
          <t>── LOOKUPS ──</t>
        </is>
      </c>
    </row>
    <row r="19" ht="30" customHeight="1">
      <c r="A19" s="14" t="inlineStr">
        <is>
          <t>12</t>
        </is>
      </c>
      <c r="B19" s="14" t="inlineStr">
        <is>
          <t>XLOOKUP</t>
        </is>
      </c>
      <c r="C19" s="15" t="inlineStr">
        <is>
          <t>Use XLOOKUP to find the Salary of employee 'Grace Kim'.</t>
        </is>
      </c>
      <c r="D19" s="6" t="inlineStr"/>
    </row>
    <row r="20" ht="30" customHeight="1">
      <c r="A20" s="14" t="inlineStr">
        <is>
          <t>13</t>
        </is>
      </c>
      <c r="B20" s="14" t="inlineStr">
        <is>
          <t>XLOOKUP</t>
        </is>
      </c>
      <c r="C20" s="15" t="inlineStr">
        <is>
          <t>Use XLOOKUP to find the Department of employee 'E008'.</t>
        </is>
      </c>
      <c r="D20" s="6" t="inlineStr"/>
    </row>
    <row r="21" ht="30" customHeight="1">
      <c r="A21" s="14" t="inlineStr">
        <is>
          <t>14</t>
        </is>
      </c>
      <c r="B21" s="14" t="inlineStr">
        <is>
          <t>VLOOKUP</t>
        </is>
      </c>
      <c r="C21" s="15" t="inlineStr">
        <is>
          <t>Use VLOOKUP to find the City of employee 'E005' (Emp_ID in col A, City in col D).</t>
        </is>
      </c>
      <c r="D21" s="6" t="inlineStr"/>
    </row>
    <row r="22" ht="30" customHeight="1">
      <c r="A22" s="14" t="inlineStr">
        <is>
          <t>15</t>
        </is>
      </c>
      <c r="B22" s="14" t="inlineStr">
        <is>
          <t>VLOOKUP</t>
        </is>
      </c>
      <c r="C22" s="15" t="inlineStr">
        <is>
          <t>Use VLOOKUP to return the Bonus for 'E012'.</t>
        </is>
      </c>
      <c r="D22" s="6" t="inlineStr"/>
    </row>
    <row r="23" ht="30" customHeight="1">
      <c r="A23" s="14" t="inlineStr">
        <is>
          <t>16</t>
        </is>
      </c>
      <c r="B23" s="14" t="inlineStr">
        <is>
          <t>HLOOKUP</t>
        </is>
      </c>
      <c r="C23" s="15" t="inlineStr">
        <is>
          <t>Create a small horizontal lookup table (see Solutions sheet for layout) and use HLOOKUP to retrieve the Salary for 'HR'.</t>
        </is>
      </c>
      <c r="D23" s="6" t="inlineStr"/>
    </row>
    <row r="24" ht="30" customHeight="1">
      <c r="A24" s="13" t="inlineStr">
        <is>
          <t>── LOGICAL ──</t>
        </is>
      </c>
    </row>
    <row r="25" ht="30" customHeight="1">
      <c r="A25" s="14" t="inlineStr">
        <is>
          <t>17</t>
        </is>
      </c>
      <c r="B25" s="14" t="inlineStr">
        <is>
          <t>IF</t>
        </is>
      </c>
      <c r="C25" s="15" t="inlineStr">
        <is>
          <t>Write an IF formula: if an employee's Sales_Achieved &gt;= Sales_Target, return 'Met', else 'Missed'.  Apply to E002 (row 3).</t>
        </is>
      </c>
      <c r="D25" s="6" t="inlineStr"/>
    </row>
    <row r="26" ht="30" customHeight="1">
      <c r="A26" s="14" t="inlineStr">
        <is>
          <t>18</t>
        </is>
      </c>
      <c r="B26" s="14" t="inlineStr">
        <is>
          <t>IF</t>
        </is>
      </c>
      <c r="C26" s="15" t="inlineStr">
        <is>
          <t>Write an IF formula: if Salary &gt; 60000 return 'Senior', else 'Junior'. Apply to E003 (row 4).</t>
        </is>
      </c>
      <c r="D26" s="6" t="inlineStr"/>
    </row>
    <row r="27" ht="30" customHeight="1">
      <c r="A27" s="14" t="inlineStr">
        <is>
          <t>19</t>
        </is>
      </c>
      <c r="B27" s="14" t="inlineStr">
        <is>
          <t>Nested IF</t>
        </is>
      </c>
      <c r="C27" s="15" t="inlineStr">
        <is>
          <t>Rating 5='Excellent', Rating 4='Good', Rating 3='Average', else='Poor'. Apply to E001 (row 2).</t>
        </is>
      </c>
      <c r="D27" s="6" t="inlineStr"/>
    </row>
    <row r="28" ht="30" customHeight="1">
      <c r="A28" s="13" t="inlineStr">
        <is>
          <t>── STATISTICS ──</t>
        </is>
      </c>
    </row>
    <row r="29" ht="30" customHeight="1">
      <c r="A29" s="14" t="inlineStr">
        <is>
          <t>20</t>
        </is>
      </c>
      <c r="B29" s="14" t="inlineStr">
        <is>
          <t>AVERAGE (Mean)</t>
        </is>
      </c>
      <c r="C29" s="15" t="inlineStr">
        <is>
          <t>Calculate the mean (average) Salary of all employees.</t>
        </is>
      </c>
      <c r="D29" s="6" t="inlineStr"/>
    </row>
    <row r="30" ht="30" customHeight="1">
      <c r="A30" s="14" t="inlineStr">
        <is>
          <t>21</t>
        </is>
      </c>
      <c r="B30" s="14" t="inlineStr">
        <is>
          <t>MEDIAN</t>
        </is>
      </c>
      <c r="C30" s="15" t="inlineStr">
        <is>
          <t>Calculate the median Salary.</t>
        </is>
      </c>
      <c r="D30" s="6" t="inlineStr"/>
    </row>
    <row r="31" ht="30" customHeight="1">
      <c r="A31" s="14" t="inlineStr">
        <is>
          <t>22</t>
        </is>
      </c>
      <c r="B31" s="14" t="inlineStr">
        <is>
          <t>MODE</t>
        </is>
      </c>
      <c r="C31" s="15" t="inlineStr">
        <is>
          <t>Calculate the mode of the Rating column (Column K).</t>
        </is>
      </c>
      <c r="D31" s="6" t="inlineStr"/>
    </row>
    <row r="32" ht="30" customHeight="1">
      <c r="A32" s="14" t="inlineStr">
        <is>
          <t>23</t>
        </is>
      </c>
      <c r="B32" s="14" t="inlineStr">
        <is>
          <t>MEDIAN</t>
        </is>
      </c>
      <c r="C32" s="15" t="inlineStr">
        <is>
          <t>Calculate the median Age.</t>
        </is>
      </c>
      <c r="D32" s="6" t="inlineStr"/>
    </row>
  </sheetData>
  <mergeCells count="8">
    <mergeCell ref="A1:D1"/>
    <mergeCell ref="A18:D18"/>
    <mergeCell ref="A8:D8"/>
    <mergeCell ref="A4:D4"/>
    <mergeCell ref="A24:D24"/>
    <mergeCell ref="A2:D2"/>
    <mergeCell ref="A28:D2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22" customWidth="1" min="4" max="4"/>
  </cols>
  <sheetData>
    <row r="1" ht="36" customHeight="1">
      <c r="A1" s="16" t="inlineStr">
        <is>
          <t>✅  Solution Sheet  –  Excel Practice</t>
        </is>
      </c>
    </row>
    <row r="2" ht="22" customHeight="1">
      <c r="A2" s="17" t="inlineStr">
        <is>
          <t>All formulas reference the Employee_Data sheet. Values shown are expected results.</t>
        </is>
      </c>
    </row>
    <row r="3" ht="22" customHeight="1">
      <c r="A3" s="1" t="inlineStr">
        <is>
          <t>#</t>
        </is>
      </c>
      <c r="B3" s="1" t="inlineStr">
        <is>
          <t>Topic</t>
        </is>
      </c>
      <c r="C3" s="1" t="inlineStr">
        <is>
          <t>Formula</t>
        </is>
      </c>
      <c r="D3" s="1" t="inlineStr">
        <is>
          <t>Expected Result</t>
        </is>
      </c>
    </row>
    <row r="4" ht="34" customHeight="1">
      <c r="A4" s="13" t="inlineStr">
        <is>
          <t>── CLEANING ──</t>
        </is>
      </c>
    </row>
    <row r="5" ht="34" customHeight="1">
      <c r="A5" s="18" t="inlineStr">
        <is>
          <t>1</t>
        </is>
      </c>
      <c r="B5" s="18" t="inlineStr">
        <is>
          <t>TRIM</t>
        </is>
      </c>
      <c r="C5" s="19">
        <f>TRIM(Employee_Data!B2)  → apply down M2:M16</f>
        <v/>
      </c>
      <c r="D5" s="19" t="inlineStr">
        <is>
          <t>Alice Johnson (no spaces)</t>
        </is>
      </c>
    </row>
    <row r="6" ht="34" customHeight="1">
      <c r="A6" s="18" t="inlineStr">
        <is>
          <t>2</t>
        </is>
      </c>
      <c r="B6" s="18" t="inlineStr">
        <is>
          <t>Text→Number (Salary)</t>
        </is>
      </c>
      <c r="C6" s="19">
        <f>VALUE(Employee_Data!E2)  or  =Employee_Data!E2*1</f>
        <v/>
      </c>
      <c r="D6" s="19" t="inlineStr">
        <is>
          <t>52000  (number, not text)</t>
        </is>
      </c>
    </row>
    <row r="7" ht="34" customHeight="1">
      <c r="A7" s="18" t="inlineStr">
        <is>
          <t>3</t>
        </is>
      </c>
      <c r="B7" s="18" t="inlineStr">
        <is>
          <t>Text→Number (Year)</t>
        </is>
      </c>
      <c r="C7" s="19">
        <f>VALUE(Employee_Data!H4)</f>
        <v/>
      </c>
      <c r="D7" s="19" t="inlineStr">
        <is>
          <t>2018  (number, not text)</t>
        </is>
      </c>
    </row>
    <row r="8" ht="34" customHeight="1">
      <c r="A8" s="13" t="inlineStr">
        <is>
          <t>── AGGREGATES ──</t>
        </is>
      </c>
    </row>
    <row r="9" ht="34" customHeight="1">
      <c r="A9" s="18" t="inlineStr">
        <is>
          <t>4</t>
        </is>
      </c>
      <c r="B9" s="18" t="inlineStr">
        <is>
          <t>SUM</t>
        </is>
      </c>
      <c r="C9" s="19">
        <f>SUM(Employee_Data!E2:E16)</f>
        <v/>
      </c>
      <c r="D9" s="19" t="inlineStr">
        <is>
          <t>915000</t>
        </is>
      </c>
    </row>
    <row r="10" ht="34" customHeight="1">
      <c r="A10" s="18" t="inlineStr">
        <is>
          <t>5</t>
        </is>
      </c>
      <c r="B10" s="18" t="inlineStr">
        <is>
          <t>AVERAGE</t>
        </is>
      </c>
      <c r="C10" s="19">
        <f>AVERAGE(Employee_Data!F2:F16)</f>
        <v/>
      </c>
      <c r="D10" s="19" t="inlineStr">
        <is>
          <t>6033.33</t>
        </is>
      </c>
    </row>
    <row r="11" ht="34" customHeight="1">
      <c r="A11" s="18" t="inlineStr">
        <is>
          <t>6</t>
        </is>
      </c>
      <c r="B11" s="18" t="inlineStr">
        <is>
          <t>MIN</t>
        </is>
      </c>
      <c r="C11" s="19">
        <f>MIN(Employee_Data!G2:G16)</f>
        <v/>
      </c>
      <c r="D11" s="19" t="inlineStr">
        <is>
          <t>25</t>
        </is>
      </c>
    </row>
    <row r="12" ht="34" customHeight="1">
      <c r="A12" s="18" t="inlineStr">
        <is>
          <t>7</t>
        </is>
      </c>
      <c r="B12" s="18" t="inlineStr">
        <is>
          <t>MAX</t>
        </is>
      </c>
      <c r="C12" s="19">
        <f>MAX(Employee_Data!J2:J16)</f>
        <v/>
      </c>
      <c r="D12" s="19" t="inlineStr">
        <is>
          <t>240000</t>
        </is>
      </c>
    </row>
    <row r="13" ht="34" customHeight="1">
      <c r="A13" s="13" t="inlineStr">
        <is>
          <t>── CONDITIONAL AGGREGATES ──</t>
        </is>
      </c>
    </row>
    <row r="14" ht="34" customHeight="1">
      <c r="A14" s="18" t="inlineStr">
        <is>
          <t>8</t>
        </is>
      </c>
      <c r="B14" s="18" t="inlineStr">
        <is>
          <t>SUMIF</t>
        </is>
      </c>
      <c r="C14" s="19">
        <f>SUMIF(Employee_Data!C2:C16,"IT",Employee_Data!E2:E16)</f>
        <v/>
      </c>
      <c r="D14" s="19" t="inlineStr">
        <is>
          <t>284000</t>
        </is>
      </c>
    </row>
    <row r="15" ht="34" customHeight="1">
      <c r="A15" s="18" t="inlineStr">
        <is>
          <t>9</t>
        </is>
      </c>
      <c r="B15" s="18" t="inlineStr">
        <is>
          <t>SUMIF</t>
        </is>
      </c>
      <c r="C15" s="19">
        <f>SUMIF(Employee_Data!D2:D16,"Mumbai",Employee_Data!J2:J16)</f>
        <v/>
      </c>
      <c r="D15" s="19" t="inlineStr">
        <is>
          <t>664000</t>
        </is>
      </c>
    </row>
    <row r="16" ht="34" customHeight="1">
      <c r="A16" s="18" t="inlineStr">
        <is>
          <t>10</t>
        </is>
      </c>
      <c r="B16" s="18" t="inlineStr">
        <is>
          <t>AVERAGEIF</t>
        </is>
      </c>
      <c r="C16" s="19">
        <f>AVERAGEIF(Employee_Data!C2:C16,"Finance",Employee_Data!E2:E16)</f>
        <v/>
      </c>
      <c r="D16" s="19" t="inlineStr">
        <is>
          <t>62250</t>
        </is>
      </c>
    </row>
    <row r="17" ht="34" customHeight="1">
      <c r="A17" s="18" t="inlineStr">
        <is>
          <t>11</t>
        </is>
      </c>
      <c r="B17" s="18" t="inlineStr">
        <is>
          <t>AVERAGEIF</t>
        </is>
      </c>
      <c r="C17" s="19">
        <f>AVERAGEIF(Employee_Data!G2:G16,"&gt;"&amp;35,Employee_Data!K2:K16)</f>
        <v/>
      </c>
      <c r="D17" s="19" t="inlineStr">
        <is>
          <t>4.20</t>
        </is>
      </c>
    </row>
    <row r="18" ht="34" customHeight="1">
      <c r="A18" s="13" t="inlineStr">
        <is>
          <t>── LOOKUPS ──</t>
        </is>
      </c>
    </row>
    <row r="19" ht="34" customHeight="1">
      <c r="A19" s="18" t="inlineStr">
        <is>
          <t>12</t>
        </is>
      </c>
      <c r="B19" s="18" t="inlineStr">
        <is>
          <t>XLOOKUP</t>
        </is>
      </c>
      <c r="C19" s="19">
        <f>XLOOKUP("Grace Kim",Employee_Data!B2:B16,Employee_Data!E2:E16)</f>
        <v/>
      </c>
      <c r="D19" s="19" t="inlineStr">
        <is>
          <t>78000</t>
        </is>
      </c>
    </row>
    <row r="20" ht="34" customHeight="1">
      <c r="A20" s="18" t="inlineStr">
        <is>
          <t>13</t>
        </is>
      </c>
      <c r="B20" s="18" t="inlineStr">
        <is>
          <t>XLOOKUP</t>
        </is>
      </c>
      <c r="C20" s="19">
        <f>XLOOKUP("E008",Employee_Data!A2:A16,Employee_Data!C2:C16)</f>
        <v/>
      </c>
      <c r="D20" s="19" t="inlineStr">
        <is>
          <t>Sales</t>
        </is>
      </c>
    </row>
    <row r="21" ht="34" customHeight="1">
      <c r="A21" s="18" t="inlineStr">
        <is>
          <t>14</t>
        </is>
      </c>
      <c r="B21" s="18" t="inlineStr">
        <is>
          <t>VLOOKUP</t>
        </is>
      </c>
      <c r="C21" s="19">
        <f>VLOOKUP("E005",Employee_Data!A2:D16,4,FALSE)</f>
        <v/>
      </c>
      <c r="D21" s="19" t="inlineStr">
        <is>
          <t>Delhi</t>
        </is>
      </c>
    </row>
    <row r="22" ht="34" customHeight="1">
      <c r="A22" s="18" t="inlineStr">
        <is>
          <t>15</t>
        </is>
      </c>
      <c r="B22" s="18" t="inlineStr">
        <is>
          <t>VLOOKUP</t>
        </is>
      </c>
      <c r="C22" s="19">
        <f>VLOOKUP("E012",Employee_Data!A2:F16,6,FALSE)</f>
        <v/>
      </c>
      <c r="D22" s="19" t="inlineStr">
        <is>
          <t>10000</t>
        </is>
      </c>
    </row>
    <row r="23" ht="34" customHeight="1">
      <c r="A23" s="18" t="inlineStr">
        <is>
          <t>16</t>
        </is>
      </c>
      <c r="B23" s="18" t="inlineStr">
        <is>
          <t>HLOOKUP</t>
        </is>
      </c>
      <c r="C23" s="19" t="inlineStr">
        <is>
          <t>Build a 2-row table (row 20 in this sheet):
A20:C20 = HR | IT | Finance
A21:C21 = Dept avg salaries
=HLOOKUP("HR",A20:C21,2,FALSE)</t>
        </is>
      </c>
      <c r="D23" s="19" t="inlineStr">
        <is>
          <t>~49000 (avg HR salary)</t>
        </is>
      </c>
    </row>
    <row r="24" ht="34" customHeight="1">
      <c r="A24" s="13" t="inlineStr">
        <is>
          <t>── LOGICAL ──</t>
        </is>
      </c>
    </row>
    <row r="25" ht="34" customHeight="1">
      <c r="A25" s="18" t="inlineStr">
        <is>
          <t>17</t>
        </is>
      </c>
      <c r="B25" s="18" t="inlineStr">
        <is>
          <t>IF (Sales)</t>
        </is>
      </c>
      <c r="C25" s="19">
        <f>IF(Employee_Data!J3&gt;=Employee_Data!I3,"Met","Missed")</f>
        <v/>
      </c>
      <c r="D25" s="19" t="inlineStr">
        <is>
          <t>Met  (E002: 130000 &gt;= 120000)</t>
        </is>
      </c>
    </row>
    <row r="26" ht="34" customHeight="1">
      <c r="A26" s="18" t="inlineStr">
        <is>
          <t>18</t>
        </is>
      </c>
      <c r="B26" s="18" t="inlineStr">
        <is>
          <t>IF (Senior/Junior)</t>
        </is>
      </c>
      <c r="C26" s="19">
        <f>IF(Employee_Data!E4&gt;60000,"Senior","Junior")</f>
        <v/>
      </c>
      <c r="D26" s="19" t="inlineStr">
        <is>
          <t>Junior  (E003 salary = 58000)</t>
        </is>
      </c>
    </row>
    <row r="27" ht="34" customHeight="1">
      <c r="A27" s="18" t="inlineStr">
        <is>
          <t>19</t>
        </is>
      </c>
      <c r="B27" s="18" t="inlineStr">
        <is>
          <t>Nested IF (Rating)</t>
        </is>
      </c>
      <c r="C27" s="19">
        <f>IF(Employee_Data!K2=5,"Excellent",IF(Employee_Data!K2=4,"Good",IF(Employee_Data!K2=3,"Average","Poor")))</f>
        <v/>
      </c>
      <c r="D27" s="19" t="inlineStr">
        <is>
          <t>Good  (E001 rating = 4)</t>
        </is>
      </c>
    </row>
    <row r="28" ht="34" customHeight="1">
      <c r="A28" s="13" t="inlineStr">
        <is>
          <t>── STATISTICS ──</t>
        </is>
      </c>
    </row>
    <row r="29" ht="34" customHeight="1">
      <c r="A29" s="18" t="inlineStr">
        <is>
          <t>20</t>
        </is>
      </c>
      <c r="B29" s="18" t="inlineStr">
        <is>
          <t>AVERAGE (Mean)</t>
        </is>
      </c>
      <c r="C29" s="19">
        <f>AVERAGE(Employee_Data!E2:E16)</f>
        <v/>
      </c>
      <c r="D29" s="19" t="inlineStr">
        <is>
          <t>61000</t>
        </is>
      </c>
    </row>
    <row r="30" ht="34" customHeight="1">
      <c r="A30" s="18" t="inlineStr">
        <is>
          <t>21</t>
        </is>
      </c>
      <c r="B30" s="18" t="inlineStr">
        <is>
          <t>MEDIAN</t>
        </is>
      </c>
      <c r="C30" s="19">
        <f>MEDIAN(Employee_Data!E2:E16)</f>
        <v/>
      </c>
      <c r="D30" s="19" t="inlineStr">
        <is>
          <t>61000</t>
        </is>
      </c>
    </row>
    <row r="31" ht="34" customHeight="1">
      <c r="A31" s="18" t="inlineStr">
        <is>
          <t>22</t>
        </is>
      </c>
      <c r="B31" s="18" t="inlineStr">
        <is>
          <t>MODE</t>
        </is>
      </c>
      <c r="C31" s="19">
        <f>MODE(Employee_Data!K2:K16)</f>
        <v/>
      </c>
      <c r="D31" s="19" t="inlineStr">
        <is>
          <t>4 or 5</t>
        </is>
      </c>
    </row>
    <row r="32" ht="34" customHeight="1">
      <c r="A32" s="18" t="inlineStr">
        <is>
          <t>23</t>
        </is>
      </c>
      <c r="B32" s="18" t="inlineStr">
        <is>
          <t>MEDIAN (Age)</t>
        </is>
      </c>
      <c r="C32" s="19">
        <f>MEDIAN(Employee_Data!G2:G16)</f>
        <v/>
      </c>
      <c r="D32" s="19" t="inlineStr">
        <is>
          <t>33</t>
        </is>
      </c>
    </row>
    <row r="34">
      <c r="A34" s="20" t="inlineStr">
        <is>
          <t>HLOOKUP Helper Table (for Q16):</t>
        </is>
      </c>
      <c r="B34" s="9" t="n"/>
      <c r="C34" s="9" t="n"/>
      <c r="D34" s="10" t="n"/>
    </row>
    <row r="35">
      <c r="A35" s="1" t="inlineStr">
        <is>
          <t>HR</t>
        </is>
      </c>
      <c r="B35" s="1" t="inlineStr">
        <is>
          <t>IT</t>
        </is>
      </c>
      <c r="C35" s="1" t="inlineStr">
        <is>
          <t>Finance</t>
        </is>
      </c>
      <c r="D35" s="1" t="inlineStr">
        <is>
          <t>Sales</t>
        </is>
      </c>
    </row>
    <row r="36">
      <c r="A36" s="21">
        <f>AVERAGEIF(Employee_Data!C2:C16,A35,Employee_Data!E2:E16)</f>
        <v/>
      </c>
      <c r="B36" s="21">
        <f>AVERAGEIF(Employee_Data!C2:C16,B35,Employee_Data!E2:E16)</f>
        <v/>
      </c>
      <c r="C36" s="21">
        <f>AVERAGEIF(Employee_Data!C2:C16,C35,Employee_Data!E2:E16)</f>
        <v/>
      </c>
      <c r="D36" s="21">
        <f>AVERAGEIF(Employee_Data!C2:C16,D35,Employee_Data!E2:E16)</f>
        <v/>
      </c>
    </row>
  </sheetData>
  <mergeCells count="9">
    <mergeCell ref="A1:D1"/>
    <mergeCell ref="A18:D18"/>
    <mergeCell ref="A8:D8"/>
    <mergeCell ref="A34:D34"/>
    <mergeCell ref="A4:D4"/>
    <mergeCell ref="A24:D24"/>
    <mergeCell ref="A2:D2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2026-06-03T02:48:52Z</dcterms:created>
  <dcterms:modified xmlns:dcterms="http://purl.org/dc/terms/" xmlns:xsi="http://www.w3.org/2001/XMLSchema-instance" xsi:type="dcterms:W3CDTF">2026-06-03T02:48:52Z</dcterms:modified>
</cp:coreProperties>
</file>